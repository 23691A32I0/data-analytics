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EC4AB05E-9A5C-48F8-B67F-6A90F3E63603}" xr6:coauthVersionLast="47" xr6:coauthVersionMax="47" xr10:uidLastSave="{00000000-0000-0000-0000-000000000000}"/>
  <bookViews>
    <workbookView xWindow="-120" yWindow="-120" windowWidth="29040" windowHeight="15720" xr2:uid="{F1B0A6EB-DD27-49A9-84C1-685D47201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1" l="1"/>
  <c r="S30" i="1"/>
  <c r="S31" i="1"/>
  <c r="S28" i="1"/>
  <c r="M29" i="1"/>
  <c r="I28" i="1"/>
  <c r="M28" i="1" s="1"/>
  <c r="I29" i="1"/>
  <c r="I30" i="1"/>
  <c r="M30" i="1" s="1"/>
  <c r="I31" i="1"/>
  <c r="M31" i="1" s="1"/>
  <c r="I32" i="1"/>
  <c r="M32" i="1" s="1"/>
  <c r="I27" i="1"/>
  <c r="M27" i="1" s="1"/>
  <c r="H28" i="1"/>
  <c r="H29" i="1"/>
  <c r="J29" i="1" s="1"/>
  <c r="K29" i="1" s="1"/>
  <c r="O29" i="1" s="1"/>
  <c r="H30" i="1"/>
  <c r="J30" i="1" s="1"/>
  <c r="K30" i="1" s="1"/>
  <c r="O30" i="1" s="1"/>
  <c r="H31" i="1"/>
  <c r="L31" i="1" s="1"/>
  <c r="H32" i="1"/>
  <c r="L32" i="1" s="1"/>
  <c r="H27" i="1"/>
  <c r="J27" i="1" s="1"/>
  <c r="K27" i="1" s="1"/>
  <c r="O27" i="1" s="1"/>
  <c r="I19" i="1"/>
  <c r="L19" i="1"/>
  <c r="L18" i="1"/>
  <c r="L15" i="1"/>
  <c r="I20" i="1"/>
  <c r="I12" i="1"/>
  <c r="I11" i="1"/>
  <c r="C21" i="1"/>
  <c r="C20" i="1"/>
  <c r="J28" i="1" l="1"/>
  <c r="K28" i="1" s="1"/>
  <c r="O28" i="1" s="1"/>
  <c r="J32" i="1"/>
  <c r="K32" i="1" s="1"/>
  <c r="O32" i="1" s="1"/>
  <c r="J31" i="1"/>
  <c r="K31" i="1" s="1"/>
  <c r="O31" i="1" s="1"/>
  <c r="L30" i="1"/>
  <c r="L29" i="1"/>
  <c r="L28" i="1"/>
  <c r="N27" i="1"/>
  <c r="N30" i="1"/>
  <c r="N29" i="1"/>
  <c r="N28" i="1" l="1"/>
  <c r="N31" i="1"/>
  <c r="N32" i="1"/>
</calcChain>
</file>

<file path=xl/sharedStrings.xml><?xml version="1.0" encoding="utf-8"?>
<sst xmlns="http://schemas.openxmlformats.org/spreadsheetml/2006/main" count="94" uniqueCount="51">
  <si>
    <t>Artist</t>
  </si>
  <si>
    <t>Tour title</t>
  </si>
  <si>
    <t>Year(s)</t>
  </si>
  <si>
    <t>Shows</t>
  </si>
  <si>
    <t>Taylor Swift</t>
  </si>
  <si>
    <t>The Eras Tour â€ </t>
  </si>
  <si>
    <t>BeyoncÃ©</t>
  </si>
  <si>
    <t>Renaissance World Tour</t>
  </si>
  <si>
    <t>Madonna</t>
  </si>
  <si>
    <t>Sticky &amp; Sweet Tour â€¡[4][a]</t>
  </si>
  <si>
    <t>Pink</t>
  </si>
  <si>
    <t>Beautiful Trauma World Tour</t>
  </si>
  <si>
    <t>Reputation Stadium Tour</t>
  </si>
  <si>
    <t>The MDNA Tour</t>
  </si>
  <si>
    <t>Celine Dion</t>
  </si>
  <si>
    <t>Taking Chances World Tour</t>
  </si>
  <si>
    <t>Summer Carnival â€ </t>
  </si>
  <si>
    <t>The Formation World Tour</t>
  </si>
  <si>
    <t>The 1989 World Tour</t>
  </si>
  <si>
    <t>The Mrs. Carter Show World Tour</t>
  </si>
  <si>
    <t>Lady Gaga</t>
  </si>
  <si>
    <t>The Monster Ball Tour *</t>
  </si>
  <si>
    <t>Katy Perry</t>
  </si>
  <si>
    <t>Prismatic World Tour</t>
  </si>
  <si>
    <t>Cher</t>
  </si>
  <si>
    <t>Living Proof: The Farewell Tour â€¡</t>
  </si>
  <si>
    <t>vlookup</t>
  </si>
  <si>
    <t>HLOOKUP</t>
  </si>
  <si>
    <t>match</t>
  </si>
  <si>
    <t>index</t>
  </si>
  <si>
    <t>xlookup</t>
  </si>
  <si>
    <t>name</t>
  </si>
  <si>
    <t>maths</t>
  </si>
  <si>
    <t>history</t>
  </si>
  <si>
    <t>a</t>
  </si>
  <si>
    <t>b</t>
  </si>
  <si>
    <t>c</t>
  </si>
  <si>
    <t>d</t>
  </si>
  <si>
    <t>e</t>
  </si>
  <si>
    <t>f</t>
  </si>
  <si>
    <t>or</t>
  </si>
  <si>
    <t>and</t>
  </si>
  <si>
    <t>result(or)</t>
  </si>
  <si>
    <t>result(and)</t>
  </si>
  <si>
    <t>pass</t>
  </si>
  <si>
    <t>result(xor)</t>
  </si>
  <si>
    <t>xor</t>
  </si>
  <si>
    <t>age</t>
  </si>
  <si>
    <t>group</t>
  </si>
  <si>
    <t>result(not)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</si>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</sst>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0" fontId="2" fillId="3" borderId="1" xfId="2"/>
    <xf numFmtId="0" fontId="1" fillId="2" borderId="0" xfId="1"/>
    <xf numFmtId="0" fontId="0" fillId="0" borderId="0" xfId="0" applyAlignment="1">
      <alignment wrapText="1"/>
    </xf>
    <xf numFmtId="0" fontId="3" fillId="0" borderId="0" xfId="0" applyFont="1"/>
    <xf numFmtId="0" fontId="4" fillId="2" borderId="2" xfId="1" applyFont="1" applyBorder="1"/>
    <xf numFmtId="0" fontId="4" fillId="2" borderId="0" xfId="1" applyFont="1"/>
  </cellXfs>
  <cellStyles count="3"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57150</xdr:rowOff>
    </xdr:from>
    <xdr:to>
      <xdr:col>21</xdr:col>
      <xdr:colOff>400050</xdr:colOff>
      <xdr:row>22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B5BFF5F-C78E-5702-2117-1E032DAAE4B7}"/>
            </a:ext>
          </a:extLst>
        </xdr:cNvPr>
        <xdr:cNvSpPr/>
      </xdr:nvSpPr>
      <xdr:spPr>
        <a:xfrm>
          <a:off x="857250" y="57150"/>
          <a:ext cx="16116300" cy="520065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314325</xdr:colOff>
      <xdr:row>23</xdr:row>
      <xdr:rowOff>123825</xdr:rowOff>
    </xdr:from>
    <xdr:to>
      <xdr:col>19</xdr:col>
      <xdr:colOff>314325</xdr:colOff>
      <xdr:row>33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8D3AF8-164C-C82C-2F95-205F581A5E88}"/>
            </a:ext>
          </a:extLst>
        </xdr:cNvPr>
        <xdr:cNvSpPr/>
      </xdr:nvSpPr>
      <xdr:spPr>
        <a:xfrm>
          <a:off x="4476750" y="5457825"/>
          <a:ext cx="11020425" cy="19050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0E28-CB7B-4779-A0AB-1E3F8494D99E}">
  <dimension ref="B2:U32"/>
  <sheetViews>
    <sheetView tabSelected="1" topLeftCell="A19" workbookViewId="0">
      <selection activeCell="H39" sqref="H39"/>
    </sheetView>
  </sheetViews>
  <sheetFormatPr defaultRowHeight="15" x14ac:dyDescent="0.25"/>
  <cols>
    <col min="1" max="1" width="14.7109375" customWidth="1"/>
    <col min="2" max="2" width="17" customWidth="1"/>
    <col min="3" max="3" width="30.7109375" customWidth="1"/>
    <col min="7" max="7" width="13.42578125" customWidth="1"/>
    <col min="8" max="8" width="11.7109375" customWidth="1"/>
    <col min="9" max="9" width="13.42578125" customWidth="1"/>
    <col min="10" max="10" width="9.140625" customWidth="1"/>
    <col min="11" max="11" width="10.7109375" customWidth="1"/>
    <col min="12" max="12" width="10.42578125" customWidth="1"/>
    <col min="13" max="13" width="11" customWidth="1"/>
    <col min="14" max="14" width="10.5703125" customWidth="1"/>
    <col min="15" max="15" width="9.85546875" customWidth="1"/>
    <col min="16" max="16" width="8.42578125" customWidth="1"/>
    <col min="17" max="17" width="8.140625" customWidth="1"/>
    <col min="18" max="18" width="11.85546875" customWidth="1"/>
    <col min="20" max="20" width="11.7109375" customWidth="1"/>
  </cols>
  <sheetData>
    <row r="2" spans="2:2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21" x14ac:dyDescent="0.25">
      <c r="B3" t="s">
        <v>4</v>
      </c>
      <c r="C3" t="s">
        <v>5</v>
      </c>
      <c r="D3">
        <v>2024</v>
      </c>
      <c r="E3">
        <v>56</v>
      </c>
    </row>
    <row r="4" spans="2:21" x14ac:dyDescent="0.25">
      <c r="B4" t="s">
        <v>6</v>
      </c>
      <c r="C4" t="s">
        <v>7</v>
      </c>
      <c r="D4">
        <v>2023</v>
      </c>
      <c r="E4">
        <v>56</v>
      </c>
      <c r="G4" s="1" t="s">
        <v>0</v>
      </c>
      <c r="H4" t="s">
        <v>4</v>
      </c>
      <c r="I4" t="s">
        <v>6</v>
      </c>
      <c r="J4" t="s">
        <v>8</v>
      </c>
      <c r="K4" t="s">
        <v>10</v>
      </c>
      <c r="L4" t="s">
        <v>4</v>
      </c>
      <c r="M4" t="s">
        <v>8</v>
      </c>
      <c r="N4" t="s">
        <v>14</v>
      </c>
      <c r="O4" t="s">
        <v>10</v>
      </c>
      <c r="P4" t="s">
        <v>6</v>
      </c>
      <c r="Q4" t="s">
        <v>4</v>
      </c>
      <c r="R4" t="s">
        <v>6</v>
      </c>
      <c r="S4" t="s">
        <v>20</v>
      </c>
      <c r="T4" t="s">
        <v>22</v>
      </c>
      <c r="U4" t="s">
        <v>24</v>
      </c>
    </row>
    <row r="5" spans="2:21" ht="75" x14ac:dyDescent="0.25">
      <c r="B5" t="s">
        <v>8</v>
      </c>
      <c r="C5" t="s">
        <v>9</v>
      </c>
      <c r="D5">
        <v>2009</v>
      </c>
      <c r="E5">
        <v>85</v>
      </c>
      <c r="G5" s="1" t="s">
        <v>1</v>
      </c>
      <c r="H5" s="3" t="s">
        <v>5</v>
      </c>
      <c r="I5" s="3" t="s">
        <v>7</v>
      </c>
      <c r="J5" s="3" t="s">
        <v>9</v>
      </c>
      <c r="K5" s="3" t="s">
        <v>11</v>
      </c>
      <c r="L5" s="3" t="s">
        <v>12</v>
      </c>
      <c r="M5" s="3" t="s">
        <v>13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21</v>
      </c>
      <c r="T5" s="3" t="s">
        <v>23</v>
      </c>
      <c r="U5" s="3" t="s">
        <v>25</v>
      </c>
    </row>
    <row r="6" spans="2:21" x14ac:dyDescent="0.25">
      <c r="B6" t="s">
        <v>10</v>
      </c>
      <c r="C6" t="s">
        <v>11</v>
      </c>
      <c r="D6">
        <v>2019</v>
      </c>
      <c r="E6">
        <v>156</v>
      </c>
      <c r="G6" s="1" t="s">
        <v>2</v>
      </c>
      <c r="H6">
        <v>2024</v>
      </c>
      <c r="I6">
        <v>2023</v>
      </c>
      <c r="J6">
        <v>2009</v>
      </c>
      <c r="K6">
        <v>2019</v>
      </c>
      <c r="L6">
        <v>2018</v>
      </c>
      <c r="M6">
        <v>2012</v>
      </c>
      <c r="N6">
        <v>2009</v>
      </c>
      <c r="O6">
        <v>2014</v>
      </c>
      <c r="P6">
        <v>2016</v>
      </c>
      <c r="Q6">
        <v>2015</v>
      </c>
      <c r="R6">
        <v>2013</v>
      </c>
      <c r="S6">
        <v>2011</v>
      </c>
      <c r="T6">
        <v>2015</v>
      </c>
      <c r="U6">
        <v>2005</v>
      </c>
    </row>
    <row r="7" spans="2:21" x14ac:dyDescent="0.25">
      <c r="B7" t="s">
        <v>4</v>
      </c>
      <c r="C7" t="s">
        <v>12</v>
      </c>
      <c r="D7">
        <v>2018</v>
      </c>
      <c r="E7">
        <v>53</v>
      </c>
      <c r="G7" s="1" t="s">
        <v>3</v>
      </c>
      <c r="H7">
        <v>56</v>
      </c>
      <c r="I7">
        <v>56</v>
      </c>
      <c r="J7">
        <v>85</v>
      </c>
      <c r="K7">
        <v>156</v>
      </c>
      <c r="L7">
        <v>53</v>
      </c>
      <c r="M7">
        <v>88</v>
      </c>
      <c r="N7">
        <v>131</v>
      </c>
      <c r="O7">
        <v>41</v>
      </c>
      <c r="P7">
        <v>49</v>
      </c>
      <c r="Q7">
        <v>85</v>
      </c>
      <c r="R7">
        <v>132</v>
      </c>
      <c r="S7">
        <v>203</v>
      </c>
      <c r="T7">
        <v>151</v>
      </c>
      <c r="U7">
        <v>325</v>
      </c>
    </row>
    <row r="8" spans="2:21" x14ac:dyDescent="0.25">
      <c r="B8" t="s">
        <v>8</v>
      </c>
      <c r="C8" t="s">
        <v>13</v>
      </c>
      <c r="D8">
        <v>2012</v>
      </c>
      <c r="E8">
        <v>88</v>
      </c>
    </row>
    <row r="9" spans="2:21" x14ac:dyDescent="0.25">
      <c r="B9" t="s">
        <v>14</v>
      </c>
      <c r="C9" t="s">
        <v>15</v>
      </c>
      <c r="D9">
        <v>2009</v>
      </c>
      <c r="E9">
        <v>131</v>
      </c>
    </row>
    <row r="10" spans="2:21" x14ac:dyDescent="0.25">
      <c r="B10" t="s">
        <v>10</v>
      </c>
      <c r="C10" t="s">
        <v>16</v>
      </c>
      <c r="D10">
        <v>2014</v>
      </c>
      <c r="E10">
        <v>41</v>
      </c>
      <c r="H10" s="6" t="s">
        <v>27</v>
      </c>
    </row>
    <row r="11" spans="2:21" x14ac:dyDescent="0.25">
      <c r="B11" t="s">
        <v>6</v>
      </c>
      <c r="C11" t="s">
        <v>17</v>
      </c>
      <c r="D11">
        <v>2016</v>
      </c>
      <c r="E11">
        <v>49</v>
      </c>
      <c r="H11" t="s">
        <v>5</v>
      </c>
      <c r="I11">
        <f>HLOOKUP(H11,H5:U7,2,0)</f>
        <v>2024</v>
      </c>
    </row>
    <row r="12" spans="2:21" x14ac:dyDescent="0.25">
      <c r="B12" t="s">
        <v>4</v>
      </c>
      <c r="C12" t="s">
        <v>18</v>
      </c>
      <c r="D12">
        <v>2015</v>
      </c>
      <c r="E12">
        <v>85</v>
      </c>
      <c r="H12" t="s">
        <v>13</v>
      </c>
      <c r="I12">
        <f>HLOOKUP(H12,H5:U7,3,0)</f>
        <v>88</v>
      </c>
    </row>
    <row r="13" spans="2:21" x14ac:dyDescent="0.25">
      <c r="B13" t="s">
        <v>6</v>
      </c>
      <c r="C13" t="s">
        <v>19</v>
      </c>
      <c r="D13">
        <v>2013</v>
      </c>
      <c r="E13">
        <v>132</v>
      </c>
    </row>
    <row r="14" spans="2:21" x14ac:dyDescent="0.25">
      <c r="B14" t="s">
        <v>20</v>
      </c>
      <c r="C14" t="s">
        <v>21</v>
      </c>
      <c r="D14">
        <v>2011</v>
      </c>
      <c r="E14">
        <v>203</v>
      </c>
      <c r="K14" s="6" t="s">
        <v>29</v>
      </c>
    </row>
    <row r="15" spans="2:21" x14ac:dyDescent="0.25">
      <c r="B15" t="s">
        <v>22</v>
      </c>
      <c r="C15" t="s">
        <v>23</v>
      </c>
      <c r="D15">
        <v>2015</v>
      </c>
      <c r="E15">
        <v>151</v>
      </c>
      <c r="K15">
        <v>2014</v>
      </c>
      <c r="L15">
        <f>INDEX(G4:U7,3,9)</f>
        <v>2014</v>
      </c>
    </row>
    <row r="16" spans="2:21" x14ac:dyDescent="0.25">
      <c r="B16" t="s">
        <v>24</v>
      </c>
      <c r="C16" t="s">
        <v>25</v>
      </c>
      <c r="D16">
        <v>2005</v>
      </c>
      <c r="E16">
        <v>325</v>
      </c>
    </row>
    <row r="17" spans="2:19" x14ac:dyDescent="0.25">
      <c r="K17" s="6" t="s">
        <v>30</v>
      </c>
    </row>
    <row r="18" spans="2:19" x14ac:dyDescent="0.25">
      <c r="H18" s="6" t="s">
        <v>28</v>
      </c>
      <c r="K18" t="s">
        <v>7</v>
      </c>
      <c r="L18">
        <f>_xlfn.XLOOKUP("Renaissance World Tour", H5:U5, H7:U7)</f>
        <v>56</v>
      </c>
    </row>
    <row r="19" spans="2:19" ht="30" x14ac:dyDescent="0.25">
      <c r="B19" s="2" t="s">
        <v>26</v>
      </c>
      <c r="H19">
        <v>2009</v>
      </c>
      <c r="I19">
        <f>MATCH(H19,H6:T6,0)</f>
        <v>3</v>
      </c>
      <c r="K19" s="3" t="s">
        <v>5</v>
      </c>
      <c r="L19">
        <f>_xlfn.XLOOKUP(K19,H5:U5,H6:U6,,0,1)</f>
        <v>2024</v>
      </c>
    </row>
    <row r="20" spans="2:19" x14ac:dyDescent="0.25">
      <c r="B20" t="s">
        <v>4</v>
      </c>
      <c r="C20">
        <f>VLOOKUP(B20,B3:E16,4,0)</f>
        <v>56</v>
      </c>
      <c r="H20">
        <v>88</v>
      </c>
      <c r="I20">
        <f>MATCH(H20,H7:T7,0)</f>
        <v>6</v>
      </c>
    </row>
    <row r="21" spans="2:19" x14ac:dyDescent="0.25">
      <c r="C21">
        <f>VLOOKUP(B7,B3:E16,3,0)</f>
        <v>2024</v>
      </c>
    </row>
    <row r="23" spans="2:19" x14ac:dyDescent="0.25">
      <c r="D23" s="4"/>
      <c r="P23" s="4"/>
    </row>
    <row r="25" spans="2:19" ht="15.75" thickBot="1" x14ac:dyDescent="0.3"/>
    <row r="26" spans="2:19" ht="16.5" thickTop="1" thickBot="1" x14ac:dyDescent="0.3">
      <c r="E26" s="4" t="s">
        <v>31</v>
      </c>
      <c r="F26" s="4" t="s">
        <v>32</v>
      </c>
      <c r="G26" s="4" t="s">
        <v>33</v>
      </c>
      <c r="H26" s="5" t="s">
        <v>40</v>
      </c>
      <c r="I26" s="5" t="s">
        <v>41</v>
      </c>
      <c r="J26" s="5" t="s">
        <v>46</v>
      </c>
      <c r="K26" s="5" t="s">
        <v>50</v>
      </c>
      <c r="L26" s="5" t="s">
        <v>42</v>
      </c>
      <c r="M26" s="5" t="s">
        <v>43</v>
      </c>
      <c r="N26" s="5" t="s">
        <v>45</v>
      </c>
      <c r="O26" s="5" t="s">
        <v>49</v>
      </c>
    </row>
    <row r="27" spans="2:19" ht="15.75" thickTop="1" x14ac:dyDescent="0.25">
      <c r="E27" t="s">
        <v>34</v>
      </c>
      <c r="F27">
        <v>99</v>
      </c>
      <c r="G27">
        <v>95</v>
      </c>
      <c r="H27" t="b">
        <f>OR(F27&lt;50,G27&lt;50)</f>
        <v>0</v>
      </c>
      <c r="I27" t="b">
        <f>AND(F27&lt;50,G27&lt;50)</f>
        <v>0</v>
      </c>
      <c r="J27" t="b">
        <f>_xlfn.XOR(H27,I27)</f>
        <v>0</v>
      </c>
      <c r="K27" t="b">
        <f>NOT(J27)</f>
        <v>1</v>
      </c>
      <c r="L27" t="s">
        <v>44</v>
      </c>
      <c r="M27" t="str">
        <f>IF(I27,"fail","pass")</f>
        <v>pass</v>
      </c>
      <c r="N27" t="str">
        <f>IF(J27,"fail","pass")</f>
        <v>pass</v>
      </c>
      <c r="O27" t="str">
        <f>IF(K27,"fail","pass")</f>
        <v>fail</v>
      </c>
      <c r="R27" s="6" t="s">
        <v>47</v>
      </c>
      <c r="S27" s="6" t="s">
        <v>48</v>
      </c>
    </row>
    <row r="28" spans="2:19" x14ac:dyDescent="0.25">
      <c r="E28" t="s">
        <v>35</v>
      </c>
      <c r="F28">
        <v>67</v>
      </c>
      <c r="G28">
        <v>72</v>
      </c>
      <c r="H28" t="b">
        <f t="shared" ref="H28:H32" si="0">OR(F28&lt;50,G28&lt;50)</f>
        <v>0</v>
      </c>
      <c r="I28" t="b">
        <f t="shared" ref="I28:I32" si="1">AND(F28&lt;50,G28&lt;50)</f>
        <v>0</v>
      </c>
      <c r="J28" t="b">
        <f t="shared" ref="J28:J32" si="2">_xlfn.XOR(H28,I28)</f>
        <v>0</v>
      </c>
      <c r="K28" t="b">
        <f t="shared" ref="K28:K32" si="3">NOT(J28)</f>
        <v>1</v>
      </c>
      <c r="L28" t="str">
        <f t="shared" ref="L28:N32" si="4">IF(H28,"fail","pass")</f>
        <v>pass</v>
      </c>
      <c r="M28" t="str">
        <f t="shared" si="4"/>
        <v>pass</v>
      </c>
      <c r="N28" t="str">
        <f t="shared" si="4"/>
        <v>pass</v>
      </c>
      <c r="O28" t="str">
        <f t="shared" ref="O28:O32" si="5">IF(K28,"fail","pass")</f>
        <v>fail</v>
      </c>
      <c r="R28">
        <v>14</v>
      </c>
      <c r="S28" t="str">
        <f>IF(R28&gt;=55,"old",IF(R28&gt;=40,"middle",IF(R28&gt;14,"adult","child")))</f>
        <v>child</v>
      </c>
    </row>
    <row r="29" spans="2:19" x14ac:dyDescent="0.25">
      <c r="E29" t="s">
        <v>36</v>
      </c>
      <c r="F29">
        <v>43</v>
      </c>
      <c r="G29">
        <v>34</v>
      </c>
      <c r="H29" t="b">
        <f t="shared" si="0"/>
        <v>1</v>
      </c>
      <c r="I29" t="b">
        <f t="shared" si="1"/>
        <v>1</v>
      </c>
      <c r="J29" t="b">
        <f t="shared" si="2"/>
        <v>0</v>
      </c>
      <c r="K29" t="b">
        <f t="shared" si="3"/>
        <v>1</v>
      </c>
      <c r="L29" t="str">
        <f t="shared" si="4"/>
        <v>fail</v>
      </c>
      <c r="M29" t="str">
        <f t="shared" si="4"/>
        <v>fail</v>
      </c>
      <c r="N29" t="str">
        <f t="shared" si="4"/>
        <v>pass</v>
      </c>
      <c r="O29" t="str">
        <f t="shared" si="5"/>
        <v>fail</v>
      </c>
      <c r="R29">
        <v>22</v>
      </c>
      <c r="S29" t="str">
        <f t="shared" ref="S29:S31" si="6">IF(R29&gt;=55,"old",IF(R29&gt;=40,"middle",IF(R29&gt;14,"adult","child")))</f>
        <v>adult</v>
      </c>
    </row>
    <row r="30" spans="2:19" x14ac:dyDescent="0.25">
      <c r="E30" t="s">
        <v>37</v>
      </c>
      <c r="F30">
        <v>59</v>
      </c>
      <c r="G30">
        <v>23</v>
      </c>
      <c r="H30" t="b">
        <f t="shared" si="0"/>
        <v>1</v>
      </c>
      <c r="I30" t="b">
        <f t="shared" si="1"/>
        <v>0</v>
      </c>
      <c r="J30" t="b">
        <f t="shared" si="2"/>
        <v>1</v>
      </c>
      <c r="K30" t="b">
        <f t="shared" si="3"/>
        <v>0</v>
      </c>
      <c r="L30" t="str">
        <f t="shared" si="4"/>
        <v>fail</v>
      </c>
      <c r="M30" t="str">
        <f t="shared" si="4"/>
        <v>pass</v>
      </c>
      <c r="N30" t="str">
        <f t="shared" si="4"/>
        <v>fail</v>
      </c>
      <c r="O30" t="str">
        <f t="shared" si="5"/>
        <v>pass</v>
      </c>
      <c r="R30">
        <v>40</v>
      </c>
      <c r="S30" t="str">
        <f t="shared" si="6"/>
        <v>middle</v>
      </c>
    </row>
    <row r="31" spans="2:19" x14ac:dyDescent="0.25">
      <c r="E31" t="s">
        <v>38</v>
      </c>
      <c r="F31">
        <v>37</v>
      </c>
      <c r="G31">
        <v>76</v>
      </c>
      <c r="H31" t="b">
        <f t="shared" si="0"/>
        <v>1</v>
      </c>
      <c r="I31" t="b">
        <f t="shared" si="1"/>
        <v>0</v>
      </c>
      <c r="J31" t="b">
        <f t="shared" si="2"/>
        <v>1</v>
      </c>
      <c r="K31" t="b">
        <f t="shared" si="3"/>
        <v>0</v>
      </c>
      <c r="L31" t="str">
        <f t="shared" si="4"/>
        <v>fail</v>
      </c>
      <c r="M31" t="str">
        <f t="shared" si="4"/>
        <v>pass</v>
      </c>
      <c r="N31" t="str">
        <f t="shared" si="4"/>
        <v>fail</v>
      </c>
      <c r="O31" t="str">
        <f t="shared" si="5"/>
        <v>pass</v>
      </c>
      <c r="R31">
        <v>67</v>
      </c>
      <c r="S31" t="str">
        <f t="shared" si="6"/>
        <v>old</v>
      </c>
    </row>
    <row r="32" spans="2:19" x14ac:dyDescent="0.25">
      <c r="E32" t="s">
        <v>39</v>
      </c>
      <c r="F32">
        <v>29</v>
      </c>
      <c r="G32">
        <v>88</v>
      </c>
      <c r="H32" t="b">
        <f t="shared" si="0"/>
        <v>1</v>
      </c>
      <c r="I32" t="b">
        <f t="shared" si="1"/>
        <v>0</v>
      </c>
      <c r="J32" t="b">
        <f t="shared" si="2"/>
        <v>1</v>
      </c>
      <c r="K32" t="b">
        <f t="shared" si="3"/>
        <v>0</v>
      </c>
      <c r="L32" t="str">
        <f t="shared" si="4"/>
        <v>fail</v>
      </c>
      <c r="M32" t="str">
        <f t="shared" si="4"/>
        <v>pass</v>
      </c>
      <c r="N32" t="str">
        <f t="shared" si="4"/>
        <v>fail</v>
      </c>
      <c r="O32" t="str">
        <f t="shared" si="5"/>
        <v>pass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2026-06-02T04:27:30Z</dcterms:created>
  <dcterms:modified xsi:type="dcterms:W3CDTF">2026-06-02T08:41:55Z</dcterms:modified>
</cp:coreProperties>
</file>