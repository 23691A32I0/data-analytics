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82F381AC-6B4E-4B0A-B407-AA16A85626E6}" xr6:coauthVersionLast="47" xr6:coauthVersionMax="47" xr10:uidLastSave="{00000000-0000-0000-0000-000000000000}"/>
  <bookViews>
    <workbookView xWindow="-120" yWindow="-120" windowWidth="29040" windowHeight="15720" activeTab="2" xr2:uid="{50E7EA90-5764-4044-B311-443BF3DF99AB}"/>
  </bookViews>
  <sheets>
    <sheet name="Sheet2" sheetId="2" r:id="rId1"/>
    <sheet name="Sheet3" sheetId="3" r:id="rId2"/>
    <sheet name="Sheet1" sheetId="1" r:id="rId3"/>
  </sheets>
  <definedNames>
    <definedName name="_xlchart.v1.0" hidden="1">Sheet1!$C$1</definedName>
    <definedName name="_xlchart.v1.1" hidden="1">Sheet1!$C$2:$C$11</definedName>
    <definedName name="_xlchart.v1.2" hidden="1">Sheet1!$D$1</definedName>
    <definedName name="_xlchart.v1.3" hidden="1">Sheet1!$D$2:$D$11</definedName>
    <definedName name="_xlchart.v1.4" hidden="1">Sheet1!$D$1</definedName>
    <definedName name="_xlchart.v1.5" hidden="1">Sheet1!$D$2:$D$11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8" i="1"/>
  <c r="C17" i="1"/>
  <c r="C16" i="1"/>
  <c r="C13" i="1"/>
  <c r="C12" i="1"/>
  <c r="C14" i="1" s="1"/>
</calcChain>
</file>

<file path=xl/sharedStrings.xml><?xml version="1.0" encoding="utf-8"?>
<sst xmlns="http://schemas.openxmlformats.org/spreadsheetml/2006/main" count="61" uniqueCount="59">
  <si>
    <t>SI.No</t>
  </si>
  <si>
    <t>Student name</t>
  </si>
  <si>
    <t>VENKAT</t>
  </si>
  <si>
    <t>CHETAN</t>
  </si>
  <si>
    <t>VARDHAN</t>
  </si>
  <si>
    <t>VENKATESH</t>
  </si>
  <si>
    <t>SHANMUKHA</t>
  </si>
  <si>
    <t>YASHWANTH</t>
  </si>
  <si>
    <t>VISHNU</t>
  </si>
  <si>
    <t>VIVAK</t>
  </si>
  <si>
    <t>SUNIL</t>
  </si>
  <si>
    <t>SIVA</t>
  </si>
  <si>
    <t>MARKS</t>
  </si>
  <si>
    <t>MEAN</t>
  </si>
  <si>
    <t>MEDIAN</t>
  </si>
  <si>
    <t>MODE</t>
  </si>
  <si>
    <t>STUDY HOURS</t>
  </si>
  <si>
    <t>RANGE</t>
  </si>
  <si>
    <t>VARIANCE</t>
  </si>
  <si>
    <t>STD-DEV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</si>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</sst>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58705161854769E-2"/>
          <c:y val="7.6423519976669588E-2"/>
          <c:w val="0.89019685039370078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MARKS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Sheet1!$C$2:$C$26</c:f>
              <c:numCache>
                <c:formatCode>General</c:formatCode>
                <c:ptCount val="25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98</c:v>
                </c:pt>
                <c:pt idx="4">
                  <c:v>94</c:v>
                </c:pt>
                <c:pt idx="5">
                  <c:v>95</c:v>
                </c:pt>
                <c:pt idx="6">
                  <c:v>98</c:v>
                </c:pt>
                <c:pt idx="7">
                  <c:v>96</c:v>
                </c:pt>
                <c:pt idx="8">
                  <c:v>98</c:v>
                </c:pt>
                <c:pt idx="9">
                  <c:v>99</c:v>
                </c:pt>
                <c:pt idx="10">
                  <c:v>95.1</c:v>
                </c:pt>
                <c:pt idx="11">
                  <c:v>95.5</c:v>
                </c:pt>
                <c:pt idx="12">
                  <c:v>98</c:v>
                </c:pt>
                <c:pt idx="13">
                  <c:v>9</c:v>
                </c:pt>
                <c:pt idx="14">
                  <c:v>10.544444444444444</c:v>
                </c:pt>
                <c:pt idx="15">
                  <c:v>3.2472210341220142</c:v>
                </c:pt>
                <c:pt idx="16">
                  <c:v>-6.5146542351780079E-2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F-4417-AB18-E663D0BB8BF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STUDY HOURS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Sheet1!$D$2:$D$26</c:f>
              <c:numCache>
                <c:formatCode>General</c:formatCode>
                <c:ptCount val="2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9F-4417-AB18-E663D0BB8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336975"/>
        <c:axId val="364333135"/>
      </c:lineChart>
      <c:catAx>
        <c:axId val="3643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33135"/>
        <c:crosses val="autoZero"/>
        <c:auto val="1"/>
        <c:lblAlgn val="ctr"/>
        <c:lblOffset val="100"/>
        <c:noMultiLvlLbl val="0"/>
      </c:catAx>
      <c:valAx>
        <c:axId val="36433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3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Sheet1!$C$2:$C$11</c:f>
              <c:numCache>
                <c:formatCode>General</c:formatCode>
                <c:ptCount val="10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98</c:v>
                </c:pt>
                <c:pt idx="4">
                  <c:v>94</c:v>
                </c:pt>
                <c:pt idx="5">
                  <c:v>95</c:v>
                </c:pt>
                <c:pt idx="6">
                  <c:v>98</c:v>
                </c:pt>
                <c:pt idx="7">
                  <c:v>96</c:v>
                </c:pt>
                <c:pt idx="8">
                  <c:v>98</c:v>
                </c:pt>
                <c:pt idx="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5-46D9-BA97-B1B61E7A601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Sheet1!$D$2:$D$11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E5-46D9-BA97-B1B61E7A60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52779455"/>
        <c:axId val="752775615"/>
      </c:barChart>
      <c:catAx>
        <c:axId val="75277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75615"/>
        <c:crosses val="autoZero"/>
        <c:auto val="1"/>
        <c:lblAlgn val="ctr"/>
        <c:lblOffset val="100"/>
        <c:noMultiLvlLbl val="0"/>
      </c:catAx>
      <c:valAx>
        <c:axId val="752775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277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STUDY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Sheet1!$D$2:$D$11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A-46FD-BD54-108354FC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57151</xdr:rowOff>
    </xdr:from>
    <xdr:to>
      <xdr:col>23</xdr:col>
      <xdr:colOff>342899</xdr:colOff>
      <xdr:row>11</xdr:row>
      <xdr:rowOff>133351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944090-35D8-302F-EEFF-7B64347FA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200025</xdr:colOff>
      <xdr:row>12</xdr:row>
      <xdr:rowOff>85725</xdr:rowOff>
    </xdr:from>
    <xdr:to>
      <xdr:col>24</xdr:col>
      <xdr:colOff>114299</xdr:colOff>
      <xdr:row>25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EE4AF7-8FA7-2A69-4937-2DF753180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104775</xdr:colOff>
      <xdr:row>0</xdr:row>
      <xdr:rowOff>123825</xdr:rowOff>
    </xdr:from>
    <xdr:to>
      <xdr:col>15</xdr:col>
      <xdr:colOff>47625</xdr:colOff>
      <xdr:row>12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73A5C0-BD04-C2E2-26FC-09E80855D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C28F-9713-43C5-AA10-78CC7B9300F7}">
  <dimension ref="A1:I18"/>
  <sheetViews>
    <sheetView workbookViewId="0">
      <selection activeCell="D7" sqref="D7"/>
    </sheetView>
  </sheetViews>
  <sheetFormatPr defaultRowHeight="15" x14ac:dyDescent="0.25"/>
  <cols>
    <col min="1" max="1" width="17.42578125" customWidth="1"/>
    <col min="2" max="2" width="11.140625" customWidth="1"/>
    <col min="3" max="3" width="16.7109375" customWidth="1"/>
    <col min="4" max="4" width="12.7109375" customWidth="1"/>
    <col min="5" max="5" width="13.42578125" customWidth="1"/>
    <col min="6" max="6" width="14.140625" customWidth="1"/>
    <col min="7" max="7" width="12.5703125" customWidth="1"/>
    <col min="8" max="8" width="15.7109375" customWidth="1"/>
    <col min="9" max="9" width="17" customWidth="1"/>
  </cols>
  <sheetData>
    <row r="1" spans="1:9" x14ac:dyDescent="0.25">
      <c r="A1" t="s">
        <v>21</v>
      </c>
    </row>
    <row r="2" spans="1:9" ht="15.75" thickBot="1" x14ac:dyDescent="0.3"/>
    <row r="3" spans="1:9" x14ac:dyDescent="0.25">
      <c r="A3" s="5" t="s">
        <v>22</v>
      </c>
      <c r="B3" s="5"/>
    </row>
    <row r="4" spans="1:9" x14ac:dyDescent="0.25">
      <c r="A4" s="2" t="s">
        <v>23</v>
      </c>
      <c r="B4" s="2">
        <v>6.5146542351777179E-2</v>
      </c>
    </row>
    <row r="5" spans="1:9" x14ac:dyDescent="0.25">
      <c r="A5" s="2" t="s">
        <v>24</v>
      </c>
      <c r="B5" s="2">
        <v>4.2440719803918973E-3</v>
      </c>
    </row>
    <row r="6" spans="1:9" x14ac:dyDescent="0.25">
      <c r="A6" s="2" t="s">
        <v>25</v>
      </c>
      <c r="B6" s="2">
        <v>-0.12022541902205912</v>
      </c>
    </row>
    <row r="7" spans="1:9" x14ac:dyDescent="0.25">
      <c r="A7" s="2" t="s">
        <v>26</v>
      </c>
      <c r="B7" s="2">
        <v>3.4368815365288055</v>
      </c>
    </row>
    <row r="8" spans="1:9" ht="15.75" thickBot="1" x14ac:dyDescent="0.3">
      <c r="A8" s="3" t="s">
        <v>27</v>
      </c>
      <c r="B8" s="3">
        <v>10</v>
      </c>
    </row>
    <row r="10" spans="1:9" ht="15.75" thickBot="1" x14ac:dyDescent="0.3">
      <c r="A10" t="s">
        <v>28</v>
      </c>
    </row>
    <row r="11" spans="1:9" x14ac:dyDescent="0.25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25">
      <c r="A12" s="2" t="s">
        <v>29</v>
      </c>
      <c r="B12" s="2">
        <v>1</v>
      </c>
      <c r="C12" s="2">
        <v>0.40276243093919106</v>
      </c>
      <c r="D12" s="2">
        <v>0.40276243093919106</v>
      </c>
      <c r="E12" s="2">
        <v>3.4097287184281358E-2</v>
      </c>
      <c r="F12" s="2">
        <v>0.85809521450643045</v>
      </c>
    </row>
    <row r="13" spans="1:9" x14ac:dyDescent="0.25">
      <c r="A13" s="2" t="s">
        <v>30</v>
      </c>
      <c r="B13" s="2">
        <v>8</v>
      </c>
      <c r="C13" s="2">
        <v>94.497237569060815</v>
      </c>
      <c r="D13" s="2">
        <v>11.812154696132602</v>
      </c>
      <c r="E13" s="2"/>
      <c r="F13" s="2"/>
    </row>
    <row r="14" spans="1:9" ht="15.75" thickBot="1" x14ac:dyDescent="0.3">
      <c r="A14" s="3" t="s">
        <v>31</v>
      </c>
      <c r="B14" s="3">
        <v>9</v>
      </c>
      <c r="C14" s="3">
        <v>94.9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32</v>
      </c>
      <c r="B17" s="2">
        <v>95.801104972375683</v>
      </c>
      <c r="C17" s="2">
        <v>3.9493372913375833</v>
      </c>
      <c r="D17" s="2">
        <v>24.257514085338919</v>
      </c>
      <c r="E17" s="2">
        <v>8.8988189830983453E-9</v>
      </c>
      <c r="F17" s="2">
        <v>86.693916847235187</v>
      </c>
      <c r="G17" s="2">
        <v>104.90829309751618</v>
      </c>
      <c r="H17" s="2">
        <v>86.693916847235187</v>
      </c>
      <c r="I17" s="2">
        <v>104.90829309751618</v>
      </c>
    </row>
    <row r="18" spans="1:9" ht="15.75" thickBot="1" x14ac:dyDescent="0.3">
      <c r="A18" s="3" t="s">
        <v>45</v>
      </c>
      <c r="B18" s="3">
        <v>-0.14917127071823211</v>
      </c>
      <c r="C18" s="3">
        <v>0.80783985531201075</v>
      </c>
      <c r="D18" s="3">
        <v>-0.18465450761972857</v>
      </c>
      <c r="E18" s="3">
        <v>0.85809521450642423</v>
      </c>
      <c r="F18" s="3">
        <v>-2.0120533176504649</v>
      </c>
      <c r="G18" s="3">
        <v>1.7137107762140009</v>
      </c>
      <c r="H18" s="3">
        <v>-2.0120533176504649</v>
      </c>
      <c r="I18" s="3">
        <v>1.7137107762140009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20BA-6B2C-4FEF-B20A-F7072EC73949}">
  <dimension ref="A1:B15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s="5" t="s">
        <v>46</v>
      </c>
      <c r="B1" s="5"/>
    </row>
    <row r="2" spans="1:2" x14ac:dyDescent="0.25">
      <c r="A2" s="2"/>
      <c r="B2" s="2"/>
    </row>
    <row r="3" spans="1:2" x14ac:dyDescent="0.25">
      <c r="A3" s="2" t="s">
        <v>47</v>
      </c>
      <c r="B3" s="2">
        <v>95.1</v>
      </c>
    </row>
    <row r="4" spans="1:2" x14ac:dyDescent="0.25">
      <c r="A4" s="2" t="s">
        <v>26</v>
      </c>
      <c r="B4" s="2">
        <v>1.0268614533832907</v>
      </c>
    </row>
    <row r="5" spans="1:2" x14ac:dyDescent="0.25">
      <c r="A5" s="2" t="s">
        <v>48</v>
      </c>
      <c r="B5" s="2">
        <v>95.5</v>
      </c>
    </row>
    <row r="6" spans="1:2" x14ac:dyDescent="0.25">
      <c r="A6" s="2" t="s">
        <v>49</v>
      </c>
      <c r="B6" s="2">
        <v>98</v>
      </c>
    </row>
    <row r="7" spans="1:2" x14ac:dyDescent="0.25">
      <c r="A7" s="2" t="s">
        <v>50</v>
      </c>
      <c r="B7" s="2">
        <v>3.2472210341220142</v>
      </c>
    </row>
    <row r="8" spans="1:2" x14ac:dyDescent="0.25">
      <c r="A8" s="2" t="s">
        <v>51</v>
      </c>
      <c r="B8" s="2">
        <v>10.544444444444444</v>
      </c>
    </row>
    <row r="9" spans="1:2" x14ac:dyDescent="0.25">
      <c r="A9" s="2" t="s">
        <v>52</v>
      </c>
      <c r="B9" s="2">
        <v>-1.4005219054513955</v>
      </c>
    </row>
    <row r="10" spans="1:2" x14ac:dyDescent="0.25">
      <c r="A10" s="2" t="s">
        <v>53</v>
      </c>
      <c r="B10" s="2">
        <v>-0.40352247225326121</v>
      </c>
    </row>
    <row r="11" spans="1:2" x14ac:dyDescent="0.25">
      <c r="A11" s="2" t="s">
        <v>54</v>
      </c>
      <c r="B11" s="2">
        <v>9</v>
      </c>
    </row>
    <row r="12" spans="1:2" x14ac:dyDescent="0.25">
      <c r="A12" s="2" t="s">
        <v>55</v>
      </c>
      <c r="B12" s="2">
        <v>90</v>
      </c>
    </row>
    <row r="13" spans="1:2" x14ac:dyDescent="0.25">
      <c r="A13" s="2" t="s">
        <v>56</v>
      </c>
      <c r="B13" s="2">
        <v>99</v>
      </c>
    </row>
    <row r="14" spans="1:2" x14ac:dyDescent="0.25">
      <c r="A14" s="2" t="s">
        <v>57</v>
      </c>
      <c r="B14" s="2">
        <v>951</v>
      </c>
    </row>
    <row r="15" spans="1:2" ht="15.75" thickBot="1" x14ac:dyDescent="0.3">
      <c r="A15" s="3" t="s">
        <v>58</v>
      </c>
      <c r="B15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B755-58C9-4885-A54F-0775A552AE7C}">
  <dimension ref="A1:D18"/>
  <sheetViews>
    <sheetView tabSelected="1" workbookViewId="0">
      <selection activeCell="O14" sqref="O14"/>
    </sheetView>
  </sheetViews>
  <sheetFormatPr defaultRowHeight="15" x14ac:dyDescent="0.25"/>
  <cols>
    <col min="2" max="2" width="14.85546875" customWidth="1"/>
    <col min="3" max="3" width="9.140625" customWidth="1"/>
    <col min="4" max="4" width="15.5703125" customWidth="1"/>
  </cols>
  <sheetData>
    <row r="1" spans="1:4" x14ac:dyDescent="0.25">
      <c r="A1" s="1" t="s">
        <v>0</v>
      </c>
      <c r="B1" s="1" t="s">
        <v>1</v>
      </c>
      <c r="C1" s="1" t="s">
        <v>12</v>
      </c>
      <c r="D1" s="1" t="s">
        <v>16</v>
      </c>
    </row>
    <row r="2" spans="1:4" x14ac:dyDescent="0.25">
      <c r="A2">
        <v>1</v>
      </c>
      <c r="B2" t="s">
        <v>2</v>
      </c>
      <c r="C2">
        <v>90</v>
      </c>
      <c r="D2">
        <v>4</v>
      </c>
    </row>
    <row r="3" spans="1:4" x14ac:dyDescent="0.25">
      <c r="A3">
        <v>2</v>
      </c>
      <c r="B3" t="s">
        <v>3</v>
      </c>
      <c r="C3">
        <v>91</v>
      </c>
      <c r="D3">
        <v>5</v>
      </c>
    </row>
    <row r="4" spans="1:4" x14ac:dyDescent="0.25">
      <c r="A4">
        <v>3</v>
      </c>
      <c r="B4" t="s">
        <v>4</v>
      </c>
      <c r="C4">
        <v>92</v>
      </c>
      <c r="D4">
        <v>6</v>
      </c>
    </row>
    <row r="5" spans="1:4" x14ac:dyDescent="0.25">
      <c r="A5">
        <v>4</v>
      </c>
      <c r="B5" t="s">
        <v>5</v>
      </c>
      <c r="C5">
        <v>98</v>
      </c>
      <c r="D5">
        <v>5</v>
      </c>
    </row>
    <row r="6" spans="1:4" x14ac:dyDescent="0.25">
      <c r="A6">
        <v>5</v>
      </c>
      <c r="B6" t="s">
        <v>6</v>
      </c>
      <c r="C6">
        <v>94</v>
      </c>
      <c r="D6">
        <v>6</v>
      </c>
    </row>
    <row r="7" spans="1:4" x14ac:dyDescent="0.25">
      <c r="A7">
        <v>6</v>
      </c>
      <c r="B7" t="s">
        <v>7</v>
      </c>
      <c r="C7">
        <v>95</v>
      </c>
      <c r="D7">
        <v>4</v>
      </c>
    </row>
    <row r="8" spans="1:4" x14ac:dyDescent="0.25">
      <c r="A8">
        <v>7</v>
      </c>
      <c r="B8" t="s">
        <v>8</v>
      </c>
      <c r="C8">
        <v>98</v>
      </c>
      <c r="D8">
        <v>6</v>
      </c>
    </row>
    <row r="9" spans="1:4" x14ac:dyDescent="0.25">
      <c r="A9">
        <v>8</v>
      </c>
      <c r="B9" t="s">
        <v>9</v>
      </c>
      <c r="C9">
        <v>96</v>
      </c>
      <c r="D9">
        <v>3</v>
      </c>
    </row>
    <row r="10" spans="1:4" x14ac:dyDescent="0.25">
      <c r="A10">
        <v>9</v>
      </c>
      <c r="B10" t="s">
        <v>10</v>
      </c>
      <c r="C10">
        <v>98</v>
      </c>
      <c r="D10">
        <v>2</v>
      </c>
    </row>
    <row r="11" spans="1:4" x14ac:dyDescent="0.25">
      <c r="A11">
        <v>10</v>
      </c>
      <c r="B11" t="s">
        <v>11</v>
      </c>
      <c r="C11">
        <v>99</v>
      </c>
      <c r="D11">
        <v>6</v>
      </c>
    </row>
    <row r="12" spans="1:4" x14ac:dyDescent="0.25">
      <c r="B12" t="s">
        <v>13</v>
      </c>
      <c r="C12">
        <f>AVERAGE(C2:C11)</f>
        <v>95.1</v>
      </c>
    </row>
    <row r="13" spans="1:4" x14ac:dyDescent="0.25">
      <c r="B13" t="s">
        <v>14</v>
      </c>
      <c r="C13">
        <f>MEDIAN(C2:C11)</f>
        <v>95.5</v>
      </c>
    </row>
    <row r="14" spans="1:4" x14ac:dyDescent="0.25">
      <c r="B14" t="s">
        <v>15</v>
      </c>
      <c r="C14">
        <f>MODE(C2:C13)</f>
        <v>98</v>
      </c>
    </row>
    <row r="15" spans="1:4" x14ac:dyDescent="0.25">
      <c r="B15" t="s">
        <v>17</v>
      </c>
      <c r="C15">
        <f>MAX(C2:C11)-MIN(C2:C11)</f>
        <v>9</v>
      </c>
    </row>
    <row r="16" spans="1:4" x14ac:dyDescent="0.25">
      <c r="B16" t="s">
        <v>18</v>
      </c>
      <c r="C16">
        <f>VAR(C2:C11)</f>
        <v>10.544444444444444</v>
      </c>
    </row>
    <row r="17" spans="2:3" x14ac:dyDescent="0.25">
      <c r="B17" t="s">
        <v>19</v>
      </c>
      <c r="C17">
        <f>STDEV(C2:C11)</f>
        <v>3.2472210341220142</v>
      </c>
    </row>
    <row r="18" spans="2:3" x14ac:dyDescent="0.25">
      <c r="B18" t="s">
        <v>20</v>
      </c>
      <c r="C18">
        <f>CORREL(C2:C11,D2:D11)</f>
        <v>-6.5146542351780079E-2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2026-05-26T08:32:05Z</dcterms:created>
  <dcterms:modified xsi:type="dcterms:W3CDTF">2026-05-26T10:22:21Z</dcterms:modified>
</cp:coreProperties>
</file>