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7B2C9E91-2C01-46A0-97DD-9C709F2C8F24}" xr6:coauthVersionLast="47" xr6:coauthVersionMax="47" xr10:uidLastSave="{00000000-0000-0000-0000-000000000000}"/>
  <bookViews>
    <workbookView xWindow="-120" yWindow="-120" windowWidth="29040" windowHeight="15720" xr2:uid="{867FD91E-F6AD-4975-9781-A0CAB7B0C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2" i="1" l="1" a="1"/>
  <c r="V22" i="1"/>
  <c r="V20" i="1"/>
  <c r="V18" i="1"/>
  <c r="V19" i="1"/>
  <c r="V16" i="1"/>
  <c r="V17" i="1"/>
  <c r="V15" i="1"/>
  <c r="V14" i="1"/>
  <c r="V13" i="1"/>
  <c r="V9" i="1"/>
  <c r="V8" i="1"/>
  <c r="V7" i="1"/>
  <c r="V6" i="1"/>
  <c r="V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<sst xmlns="http://schemas.openxmlformats.org/spreadsheetml/2006/main" count="131" uniqueCount="71">
  <si>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</si>
  <si>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</si>
  <si>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</si>
  <si>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</si>
  <si>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</si>
  <si>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</si>
  <si>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</si>
  <si>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</si>
  <si>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</si>
  <si>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</si>
  <si>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</si>
  <si>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</si>
  <si>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</si>
  <si>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</si>
  <si>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</si>
  <si>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</si>
  <si>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</si>
  <si>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</si>
  <si>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</si>
  <si>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</si>
  <si>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</si>
  <si>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</si>
  <si>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</si>
  <si>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</si>
  <si>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</si>
  <si>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</si>
  <si>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</si>
  <si>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</si>
  <si>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</si>
  <si>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</si>
  <si>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</si>
  <si>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</si>
  <si>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</si>
  <si>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</si>
  <si>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</si>
  <si>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</si>
  <si>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</si>
  <si>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</si>
  <si>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</si>
  <si>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</si>
  <si>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</si>
  <si>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</si>
  <si>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</si>
  <si>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</si>
  <si>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</si>
  <si>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</si>
  <si>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</si>
  <si>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</si>
  <si>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</si>
  <si>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</si>
  <si>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</si>
  <si>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count</t>
  </si>
  <si>
    <t>counta</t>
  </si>
  <si>
    <t>countif</t>
  </si>
  <si>
    <t>countifs</t>
  </si>
  <si>
    <t>countblank</t>
  </si>
  <si>
    <t>mean</t>
  </si>
  <si>
    <t>median</t>
  </si>
  <si>
    <t>mode</t>
  </si>
  <si>
    <t>var.s</t>
  </si>
  <si>
    <t>var.p</t>
  </si>
  <si>
    <t>stdev.s</t>
  </si>
  <si>
    <t>stdev.p</t>
  </si>
  <si>
    <t>correl</t>
  </si>
  <si>
    <t>amazon</t>
  </si>
  <si>
    <t>flipkart</t>
  </si>
  <si>
    <t>meesho</t>
  </si>
  <si>
    <t>myntra</t>
  </si>
  <si>
    <t>company</t>
  </si>
  <si>
    <t>logo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</si>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</sst>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0" fontId="1" fillId="3" borderId="1" xfId="2" applyBorder="1"/>
    <xf numFmtId="0" fontId="4" fillId="2" borderId="1" xfId="1" applyFont="1" applyBorder="1"/>
    <xf numFmtId="0" fontId="4" fillId="2" borderId="0" xfId="1" applyFont="1" applyBorder="1"/>
    <xf numFmtId="0" fontId="1" fillId="3" borderId="0" xfId="2"/>
  </cellXfs>
  <cellStyles count="3">
    <cellStyle name="20% - Accent6" xfId="2" builtinId="50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</xdr:colOff>
      <xdr:row>35</xdr:row>
      <xdr:rowOff>95251</xdr:rowOff>
    </xdr:from>
    <xdr:to>
      <xdr:col>17</xdr:col>
      <xdr:colOff>1140883</xdr:colOff>
      <xdr:row>35</xdr:row>
      <xdr:rowOff>704851</xdr:rowOff>
    </xdr:to>
    <xdr:pic>
      <xdr:nvPicPr>
        <xdr:cNvPr id="15" name="Picture 14" descr="Amazon Startup Story - Founder | Funding | Revenue Model">
          <a:extLst>
            <a:ext uri="{FF2B5EF4-FFF2-40B4-BE49-F238E27FC236}">
              <a16:creationId xmlns:a16="http://schemas.microsoft.com/office/drawing/2014/main" id="{DA6D4134-7362-FD5C-F946-5AA6E4DC6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7048501"/>
          <a:ext cx="1083733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304800</xdr:colOff>
      <xdr:row>36</xdr:row>
      <xdr:rowOff>304800</xdr:rowOff>
    </xdr:to>
    <xdr:sp macro="" textlink="">
      <xdr:nvSpPr>
        <xdr:cNvPr id="1027" name="AutoShape 3" descr="Flipkart - Wikipedia">
          <a:extLst>
            <a:ext uri="{FF2B5EF4-FFF2-40B4-BE49-F238E27FC236}">
              <a16:creationId xmlns:a16="http://schemas.microsoft.com/office/drawing/2014/main" id="{F2B2F181-8C26-CC7F-6213-5DA3D9D4CA38}"/>
            </a:ext>
          </a:extLst>
        </xdr:cNvPr>
        <xdr:cNvSpPr>
          <a:spLocks noChangeAspect="1" noChangeArrowheads="1"/>
        </xdr:cNvSpPr>
      </xdr:nvSpPr>
      <xdr:spPr bwMode="auto">
        <a:xfrm>
          <a:off x="11106150" y="77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304800</xdr:colOff>
      <xdr:row>37</xdr:row>
      <xdr:rowOff>304800</xdr:rowOff>
    </xdr:to>
    <xdr:sp macro="" textlink="">
      <xdr:nvSpPr>
        <xdr:cNvPr id="1033" name="AutoShape 9" descr="Why Flipkart Wholesale's expansion focuses only on fashion">
          <a:extLst>
            <a:ext uri="{FF2B5EF4-FFF2-40B4-BE49-F238E27FC236}">
              <a16:creationId xmlns:a16="http://schemas.microsoft.com/office/drawing/2014/main" id="{F20BE6E3-1218-5275-81FC-F7CB51B48262}"/>
            </a:ext>
          </a:extLst>
        </xdr:cNvPr>
        <xdr:cNvSpPr>
          <a:spLocks noChangeAspect="1" noChangeArrowheads="1"/>
        </xdr:cNvSpPr>
      </xdr:nvSpPr>
      <xdr:spPr bwMode="auto">
        <a:xfrm>
          <a:off x="11106150" y="81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73174</xdr:colOff>
      <xdr:row>36</xdr:row>
      <xdr:rowOff>87922</xdr:rowOff>
    </xdr:from>
    <xdr:to>
      <xdr:col>17</xdr:col>
      <xdr:colOff>1142999</xdr:colOff>
      <xdr:row>36</xdr:row>
      <xdr:rowOff>703384</xdr:rowOff>
    </xdr:to>
    <xdr:pic>
      <xdr:nvPicPr>
        <xdr:cNvPr id="16" name="Picture 15" descr="India Post partners with Flipkart for parcel delivery in remote areas">
          <a:extLst>
            <a:ext uri="{FF2B5EF4-FFF2-40B4-BE49-F238E27FC236}">
              <a16:creationId xmlns:a16="http://schemas.microsoft.com/office/drawing/2014/main" id="{CE0EC54D-63BC-B125-CFF0-9A5597143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8809" y="7839807"/>
          <a:ext cx="1069825" cy="615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58616</xdr:colOff>
      <xdr:row>37</xdr:row>
      <xdr:rowOff>36635</xdr:rowOff>
    </xdr:from>
    <xdr:to>
      <xdr:col>17</xdr:col>
      <xdr:colOff>1155588</xdr:colOff>
      <xdr:row>37</xdr:row>
      <xdr:rowOff>696058</xdr:rowOff>
    </xdr:to>
    <xdr:pic>
      <xdr:nvPicPr>
        <xdr:cNvPr id="17" name="Picture 16" descr="Meesho Startup Journey: From Fashnear to Unicorn">
          <a:extLst>
            <a:ext uri="{FF2B5EF4-FFF2-40B4-BE49-F238E27FC236}">
              <a16:creationId xmlns:a16="http://schemas.microsoft.com/office/drawing/2014/main" id="{AB0A97B5-32FB-7A73-5FE7-6FC648F0D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1" y="8543193"/>
          <a:ext cx="1096972" cy="659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718039</xdr:colOff>
      <xdr:row>38</xdr:row>
      <xdr:rowOff>80596</xdr:rowOff>
    </xdr:from>
    <xdr:to>
      <xdr:col>18</xdr:col>
      <xdr:colOff>16805</xdr:colOff>
      <xdr:row>38</xdr:row>
      <xdr:rowOff>615461</xdr:rowOff>
    </xdr:to>
    <xdr:pic>
      <xdr:nvPicPr>
        <xdr:cNvPr id="18" name="Picture 17" descr="Myntra - Wikipedia">
          <a:extLst>
            <a:ext uri="{FF2B5EF4-FFF2-40B4-BE49-F238E27FC236}">
              <a16:creationId xmlns:a16="http://schemas.microsoft.com/office/drawing/2014/main" id="{8E5778A7-A95C-4AAB-2E07-09CBE9B95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0981" y="9312519"/>
          <a:ext cx="1211093" cy="534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8713AF-EECF-4697-BB54-93A1F1F89D5A}" name="Table2" displayName="Table2" ref="Q35:S39" totalsRowShown="0">
  <autoFilter ref="Q35:S39" xr:uid="{FA8713AF-EECF-4697-BB54-93A1F1F89D5A}"/>
  <sortState xmlns:xlrd2="http://schemas.microsoft.com/office/spreadsheetml/2017/richdata2" ref="Q36:S39">
    <sortCondition ref="Q35:Q39"/>
  </sortState>
  <tableColumns count="3">
    <tableColumn id="1" xr3:uid="{1A27DED8-91E8-42E8-8515-6851A96D6BCA}" name="company"/>
    <tableColumn id="2" xr3:uid="{26AC5B10-606E-4F5E-A3C1-19CAD6DDA5B5}" name="logo"/>
    <tableColumn id="3" xr3:uid="{C720AA53-ACC1-4BCF-8CC4-B6683AEF4C21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9067-B872-4DA0-9C53-9FF938AF873C}">
  <dimension ref="A1:V39"/>
  <sheetViews>
    <sheetView tabSelected="1" zoomScale="70" zoomScaleNormal="70" workbookViewId="0">
      <selection activeCell="S29" sqref="S29"/>
    </sheetView>
  </sheetViews>
  <sheetFormatPr defaultRowHeight="15" x14ac:dyDescent="0.25"/>
  <cols>
    <col min="4" max="4" width="11.5703125" customWidth="1"/>
    <col min="13" max="13" width="16" customWidth="1"/>
    <col min="17" max="17" width="11" customWidth="1"/>
    <col min="18" max="18" width="17.7109375" customWidth="1"/>
    <col min="19" max="19" width="11" bestFit="1" customWidth="1"/>
    <col min="21" max="21" width="12.28515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2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22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22" ht="15.75" thickBot="1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22" ht="16.5" thickTop="1" thickBot="1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U5" s="3" t="s">
        <v>51</v>
      </c>
      <c r="V5" s="2">
        <f>COUNT(A:A)</f>
        <v>32</v>
      </c>
    </row>
    <row r="6" spans="1:22" ht="16.5" thickTop="1" thickBot="1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U6" s="3" t="s">
        <v>52</v>
      </c>
      <c r="V6" s="2">
        <f>COUNTA(A:A)</f>
        <v>33</v>
      </c>
    </row>
    <row r="7" spans="1:22" ht="16.5" thickTop="1" thickBot="1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U7" s="3" t="s">
        <v>53</v>
      </c>
      <c r="V7" s="2">
        <f>COUNTIF(G:G,"&gt;30")</f>
        <v>24</v>
      </c>
    </row>
    <row r="8" spans="1:22" ht="16.5" thickTop="1" thickBot="1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U8" s="3" t="s">
        <v>54</v>
      </c>
      <c r="V8" s="2">
        <f>COUNTIFS(D:D,"&gt;600",F:F,"Male")</f>
        <v>8</v>
      </c>
    </row>
    <row r="9" spans="1:22" ht="16.5" thickTop="1" thickBot="1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U9" s="3" t="s">
        <v>55</v>
      </c>
      <c r="V9" s="2">
        <f>COUNTBLANK(A1:D35)</f>
        <v>8</v>
      </c>
    </row>
    <row r="10" spans="1:22" ht="15.75" thickTop="1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U10" s="1"/>
    </row>
    <row r="11" spans="1:22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U11" s="1"/>
    </row>
    <row r="12" spans="1:22" ht="15.75" thickBot="1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U12" s="1"/>
    </row>
    <row r="13" spans="1:22" ht="16.5" thickTop="1" thickBot="1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U13" s="3" t="s">
        <v>56</v>
      </c>
      <c r="V13" s="2">
        <f>AVERAGE(I:I)</f>
        <v>52354.996874999997</v>
      </c>
    </row>
    <row r="14" spans="1:22" ht="16.5" thickTop="1" thickBot="1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U14" s="3" t="s">
        <v>57</v>
      </c>
      <c r="V14" s="2">
        <f>MEDIAN(G:G)</f>
        <v>38.5</v>
      </c>
    </row>
    <row r="15" spans="1:22" ht="16.5" thickTop="1" thickBot="1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U15" s="3" t="s">
        <v>58</v>
      </c>
      <c r="V15" s="2">
        <f>MODE(G:G)</f>
        <v>44</v>
      </c>
    </row>
    <row r="16" spans="1:22" ht="16.5" thickTop="1" thickBot="1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U16" s="3" t="s">
        <v>59</v>
      </c>
      <c r="V16" s="2">
        <f>_xlfn.VAR.S(I:I)</f>
        <v>3969182414.6245589</v>
      </c>
    </row>
    <row r="17" spans="1:22" ht="16.5" thickTop="1" thickBot="1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U17" s="3" t="s">
        <v>60</v>
      </c>
      <c r="V17" s="2">
        <f>_xlfn.VAR.P(I:I)</f>
        <v>3845145464.1675415</v>
      </c>
    </row>
    <row r="18" spans="1:22" ht="16.5" thickTop="1" thickBot="1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U18" s="3" t="s">
        <v>61</v>
      </c>
      <c r="V18" s="2">
        <f>_xlfn.STDEV.S(I:I)</f>
        <v>63001.447718481511</v>
      </c>
    </row>
    <row r="19" spans="1:22" ht="16.5" thickTop="1" thickBot="1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U19" s="3" t="s">
        <v>62</v>
      </c>
      <c r="V19" s="2">
        <f>_xlfn.STDEV.P(I:I)</f>
        <v>62009.236926183359</v>
      </c>
    </row>
    <row r="20" spans="1:22" ht="16.5" thickTop="1" thickBot="1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U20" s="3" t="s">
        <v>63</v>
      </c>
      <c r="V20" s="2">
        <f>CORREL(D:D,I:I)</f>
        <v>-9.5561102598291078E-2</v>
      </c>
    </row>
    <row r="21" spans="1:22" ht="15.75" thickTop="1" x14ac:dyDescent="0.2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22" x14ac:dyDescent="0.2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U22" s="4" t="s">
        <v>58</v>
      </c>
      <c r="V22" s="5" t="str" cm="1">
        <f t="array" ref="V22">INDEX(F1:F33, MODE(MATCH(F1:F33, F1:F33, 0)))</f>
        <v>Female</v>
      </c>
    </row>
    <row r="23" spans="1:22" x14ac:dyDescent="0.2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22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22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22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22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22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22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22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22" x14ac:dyDescent="0.2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22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9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5" spans="1:19" x14ac:dyDescent="0.25">
      <c r="Q35" t="s">
        <v>68</v>
      </c>
      <c r="R35" t="s">
        <v>69</v>
      </c>
      <c r="S35" t="s">
        <v>70</v>
      </c>
    </row>
    <row r="36" spans="1:19" ht="60.75" customHeight="1" x14ac:dyDescent="0.25">
      <c r="Q36" t="s">
        <v>64</v>
      </c>
      <c r="S36">
        <v>100000000</v>
      </c>
    </row>
    <row r="37" spans="1:19" ht="59.25" customHeight="1" x14ac:dyDescent="0.25">
      <c r="Q37" t="s">
        <v>65</v>
      </c>
      <c r="S37">
        <v>105000000</v>
      </c>
    </row>
    <row r="38" spans="1:19" ht="57" customHeight="1" x14ac:dyDescent="0.25">
      <c r="Q38" t="s">
        <v>66</v>
      </c>
      <c r="S38">
        <v>82433433</v>
      </c>
    </row>
    <row r="39" spans="1:19" ht="54" customHeight="1" x14ac:dyDescent="0.25">
      <c r="Q39" t="s">
        <v>67</v>
      </c>
      <c r="S39">
        <v>3626528</v>
      </c>
    </row>
  </sheetData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2026-06-02T08:51:06Z</dcterms:created>
  <dcterms:modified xsi:type="dcterms:W3CDTF">2026-06-02T11:14:48Z</dcterms:modified>
</cp:coreProperties>
</file>